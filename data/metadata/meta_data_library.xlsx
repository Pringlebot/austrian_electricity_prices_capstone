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paulr\Desktop\Capstone\data\metadata\"/>
    </mc:Choice>
  </mc:AlternateContent>
  <xr:revisionPtr revIDLastSave="0" documentId="13_ncr:1_{D8594F9A-544C-4376-AC0F-EDBCAAD23D37}" xr6:coauthVersionLast="47" xr6:coauthVersionMax="47" xr10:uidLastSave="{00000000-0000-0000-0000-000000000000}"/>
  <bookViews>
    <workbookView xWindow="33975" yWindow="-11520" windowWidth="21600" windowHeight="11790" xr2:uid="{964BDAAE-BA87-42B8-AD76-70939F7BBB4F}"/>
  </bookViews>
  <sheets>
    <sheet name="meta_data_library"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<sst xmlns="http://schemas.openxmlformats.org/spreadsheetml/2006/main" count="575" uniqueCount="199">
  <si>
    <t>index</t>
  </si>
  <si>
    <t>column</t>
  </si>
  <si>
    <t>non_null_count</t>
  </si>
  <si>
    <t>dtype</t>
  </si>
  <si>
    <t>category</t>
  </si>
  <si>
    <t>label</t>
  </si>
  <si>
    <t>link</t>
  </si>
  <si>
    <t>more_information</t>
  </si>
  <si>
    <t>Source</t>
  </si>
  <si>
    <t>available_from</t>
  </si>
  <si>
    <t>available_to</t>
  </si>
  <si>
    <t>count</t>
  </si>
  <si>
    <t>mean</t>
  </si>
  <si>
    <t>std</t>
  </si>
  <si>
    <t>min</t>
  </si>
  <si>
    <t>max</t>
  </si>
  <si>
    <t>date</t>
  </si>
  <si>
    <t>4651 non-null</t>
  </si>
  <si>
    <t>object</t>
  </si>
  <si>
    <t>meta_data</t>
  </si>
  <si>
    <t>Filter</t>
  </si>
  <si>
    <t>n/a</t>
  </si>
  <si>
    <t>all_levels</t>
  </si>
  <si>
    <t>year</t>
  </si>
  <si>
    <t>float64</t>
  </si>
  <si>
    <t>month</t>
  </si>
  <si>
    <t>quarter</t>
  </si>
  <si>
    <t>week</t>
  </si>
  <si>
    <t>aggregation_level</t>
  </si>
  <si>
    <t>electricity_day_ahead_prices</t>
  </si>
  <si>
    <t>https://markt.apg.at/en/transparency/cross-border-exchange/day-ahead-prices/</t>
  </si>
  <si>
    <t>https://www.exaa.at/en/about-exaa/exaa-news/new-product-cross-auction-spread-time-spread/#:~:text=With%20today%27s%20trading%20day%2C%20EXAA%20introduces%20the,position%20close%2Dout%20in%20the%2012:00%20MC%20auction.</t>
  </si>
  <si>
    <t>month_name</t>
  </si>
  <si>
    <t>carbonprices_exchange_rate_eur_usd</t>
  </si>
  <si>
    <t>3136 non-null</t>
  </si>
  <si>
    <t>carbon_prices</t>
  </si>
  <si>
    <t>Exchange Rate EUR_USD</t>
  </si>
  <si>
    <t>https://icapcarbonaction.com/en/ets-prices</t>
  </si>
  <si>
    <t>https://icapcarbonaction.com/en/compare/43</t>
  </si>
  <si>
    <t>International Carbon Action Partnership (ICAP)</t>
  </si>
  <si>
    <t>carbonprices_primary_market</t>
  </si>
  <si>
    <t>2859 non-null</t>
  </si>
  <si>
    <t>climate_cdd_at</t>
  </si>
  <si>
    <t>152 non-null</t>
  </si>
  <si>
    <t>climate_data</t>
  </si>
  <si>
    <t>https://ec.europa.eu/eurostat/databrowser/view/nrg_chddr2_m__custom_17979334/default/table?lang=en</t>
  </si>
  <si>
    <t>https://ec.europa.eu/eurostat/cache/metadata/en/nrg_chdd_esms.htm</t>
  </si>
  <si>
    <t>European Commission</t>
  </si>
  <si>
    <t>monthly</t>
  </si>
  <si>
    <t>climate_hdd_at</t>
  </si>
  <si>
    <t>climate_cdd_eu</t>
  </si>
  <si>
    <t>climate_hdd_eu</t>
  </si>
  <si>
    <t>prod_gross_electricity_production</t>
  </si>
  <si>
    <t>187 non-null</t>
  </si>
  <si>
    <t>electricitý_ production_mix</t>
  </si>
  <si>
    <t>https://www.e-control.at/statistik/e-statistik/data</t>
  </si>
  <si>
    <t>Further Information in E-Control Metadata - Data Id: #123754</t>
  </si>
  <si>
    <t>E-Control Austria</t>
  </si>
  <si>
    <t>prod_gross_electricity_consumption</t>
  </si>
  <si>
    <t>Further Information in E-Control Metadata - Data Id: #999005</t>
  </si>
  <si>
    <t>prod_hydropower_production_total</t>
  </si>
  <si>
    <t>Further Information in E-Control Metadata - Data Id: #999003m</t>
  </si>
  <si>
    <t>prod_fossil_sk_production</t>
  </si>
  <si>
    <t>Further Information in E-Control Metadata - Data Id: #89093m</t>
  </si>
  <si>
    <t>prod_fossil_DvfB_production</t>
  </si>
  <si>
    <t>Further Information in E-Control Metadata - Data Id: #89096m</t>
  </si>
  <si>
    <t>prod_fossil_DvOe_production</t>
  </si>
  <si>
    <t>Further Information in E-Control Metadata - Data Id: #89095m</t>
  </si>
  <si>
    <t>prod_fossil_gas_production</t>
  </si>
  <si>
    <t>Further Information in E-Control Metadata - Data Id: #89097m</t>
  </si>
  <si>
    <t>prod_fossil_subtotal_production</t>
  </si>
  <si>
    <t>Further Information in E-Control Metadata - Data Id: #99108m</t>
  </si>
  <si>
    <t>prod_renewable_bio_production</t>
  </si>
  <si>
    <t>Further Information in E-Control Metadata - Data Id: #99105m</t>
  </si>
  <si>
    <t>prod_renewable_SoBio_production</t>
  </si>
  <si>
    <t>Further Information in E-Control Metadata - Data Id: #156858m</t>
  </si>
  <si>
    <t>prod_other_fuels_production</t>
  </si>
  <si>
    <t>Further Information in E-Control Metadata - Data Id: #99106m</t>
  </si>
  <si>
    <t>prod_fuel_production_total</t>
  </si>
  <si>
    <t>Further Information in E-Control Metadata - Data Id: #129589m</t>
  </si>
  <si>
    <t>prod_wind_total</t>
  </si>
  <si>
    <t>Further Information in E-Control Metadata - Data Id: #89101</t>
  </si>
  <si>
    <t>prod_pv_total</t>
  </si>
  <si>
    <t>Further Information in E-Control Metadata - Data Id: #248357</t>
  </si>
  <si>
    <t>prod_power_production_total</t>
  </si>
  <si>
    <t>Further Information in E-Control Metadata - Data Id: #129590m</t>
  </si>
  <si>
    <t>prod_electricity_imports</t>
  </si>
  <si>
    <t>Further Information in E-Control Metadata - Data Id: #999033</t>
  </si>
  <si>
    <t>prod_electricity_exports</t>
  </si>
  <si>
    <t>Further Information in E-Control Metadata - Data Id: #999025</t>
  </si>
  <si>
    <t>oegpi_month</t>
  </si>
  <si>
    <t>69 non-null</t>
  </si>
  <si>
    <t>gas_prices</t>
  </si>
  <si>
    <t>https://www.energyagency.at/fakten/gaspreisindizes</t>
  </si>
  <si>
    <t>https://www.energyagency.at/fileadmin/1_energyagency/presseaussendungen/gaspreisindex/oegpi_gruppe/oegpi_gruppe_monatswerte.pdf</t>
  </si>
  <si>
    <t>Austrian Energy Agency</t>
  </si>
  <si>
    <t>oegpi_quarter</t>
  </si>
  <si>
    <t>23 non-null</t>
  </si>
  <si>
    <t>oegpi_season</t>
  </si>
  <si>
    <t>11 non-null</t>
  </si>
  <si>
    <t>oegpi_year</t>
  </si>
  <si>
    <t>economic_data</t>
  </si>
  <si>
    <t>https://monitor.statistik.at/</t>
  </si>
  <si>
    <t>https://www.statistik.at/services/tools/tools/konjunkturmonitor</t>
  </si>
  <si>
    <t>Statistik Austria</t>
  </si>
  <si>
    <t>econ_consumer_price_index</t>
  </si>
  <si>
    <t>115 non-null</t>
  </si>
  <si>
    <t>Consumer Price Index (2015=100)</t>
  </si>
  <si>
    <t>econ_exports_total_EUR</t>
  </si>
  <si>
    <t>198 non-null</t>
  </si>
  <si>
    <t>econ_count_overnight_stays</t>
  </si>
  <si>
    <t>199 non-null</t>
  </si>
  <si>
    <t>No. of Overnight Stays</t>
  </si>
  <si>
    <t>econ_imports_total_EUR</t>
  </si>
  <si>
    <t>econ_imports_energy_EUR</t>
  </si>
  <si>
    <t>unit</t>
  </si>
  <si>
    <t>Ratio EUR:USD</t>
  </si>
  <si>
    <t>Index Value</t>
  </si>
  <si>
    <t>MWh</t>
  </si>
  <si>
    <t>EUR</t>
  </si>
  <si>
    <t>Count</t>
  </si>
  <si>
    <t xml:space="preserve"> EUR/tCO2</t>
  </si>
  <si>
    <t>Cooling Deegre Days Index (Europe)</t>
  </si>
  <si>
    <t>Heating Deegre Days Index (Europe)</t>
  </si>
  <si>
    <t>Heating Deegre Days Index (Austria)</t>
  </si>
  <si>
    <t>Cooling Deegre Days Index (Austria)</t>
  </si>
  <si>
    <t>Cooling Deegre Days Index (Austria): Severity of the heat  in a specific month in the geo.territory of Austria. Takes both outdoors and indoors temperatures into consideration, i.e. need for cooling which is set as &gt;24°C</t>
  </si>
  <si>
    <t>Heating Deegre Days Index (Austria): Severity of the cold  in a specific month in the geo.territory of Austria. Takes both outdoors and indoors temperatures into consideration, i.e. need for heating which is set as &gt;15°C</t>
  </si>
  <si>
    <t>Cooling Deegre Days Index (Europe): Severity of the heat  in a specific month in the geo.territory of the EU28. Takes both outdoors and indoors temperatures into consideration, i.e. need for cooling which is set as &gt;24°C</t>
  </si>
  <si>
    <t>Heating Deegre Days Index (Europe): Severity of the cold  in a specific month in the geo.territory of the EU28. Takes both outdoors and indoors temperatures into consideration, i.e. need for heating which is set as &gt;15°C</t>
  </si>
  <si>
    <t>Average Primary EU Carbon ETS Price</t>
  </si>
  <si>
    <t>Gross electricity generation (public grid) (Austria)</t>
  </si>
  <si>
    <t>Gross electricity consumption (domestic electricity consumption including consumption for pumped storage) (Austria)</t>
  </si>
  <si>
    <t>Gross electricity generation from hydropower + estimate of small-scale (micro) plants (Austria)</t>
  </si>
  <si>
    <t>Gross electricity generation from hard coal + estimate of small-scale (micro) plants (Austria)</t>
  </si>
  <si>
    <t>Gross electricity generation from derivatives (solid fossil fuels) + estimate of small-scale (micro) plants (Austria)</t>
  </si>
  <si>
    <t>Gross electricity generation from petroleum derivatives + estimate of small-scale (micro) plants (Austria)</t>
  </si>
  <si>
    <t>Gross electricity generation from natural gas + estimate of small-scale (micro) plants (Austria)</t>
  </si>
  <si>
    <t>Gross electricity generation from fossil fuels, total + estimate of small-scale (micro) plants (Austria)</t>
  </si>
  <si>
    <t>Gross electricity generation from biogenic energy sources, total + estimate of small-scale (micro) plants (Austria)</t>
  </si>
  <si>
    <t>Gross electricity generation from other biogenic energy sources, total + estimate of small-scale (micro) plants (Austria)</t>
  </si>
  <si>
    <t>Gross electricity generation from other fuels, total + estimate of small-scale (micro) plants (Austria)</t>
  </si>
  <si>
    <t>Total gross thermal power generation + estimate of small and micro-plants (Austria)</t>
  </si>
  <si>
    <t>Total gross wind power generation + estimate of small and micro-plants (Austria)</t>
  </si>
  <si>
    <t>Total gross PV power generation + estimate of small and micro-plants (Austria)</t>
  </si>
  <si>
    <t>Total gross electricity generation + estimate of small and micro-plants (Austria)</t>
  </si>
  <si>
    <t>Total gross electricity generation from electricity imports (Austria)</t>
  </si>
  <si>
    <t>Monthly indexed price of natural gas (Austria)</t>
  </si>
  <si>
    <t>Quarterly indexed price of natural gas (Austria)</t>
  </si>
  <si>
    <t>Seasonally indexed price of natural gas (Austria)</t>
  </si>
  <si>
    <t>Yearly indexed price of natural gas (Austria)</t>
  </si>
  <si>
    <t>Total Exports</t>
  </si>
  <si>
    <t>Total Imports</t>
  </si>
  <si>
    <t>Total Imports SITC-3 Fuels, Energy</t>
  </si>
  <si>
    <t>EUR/MWh</t>
  </si>
  <si>
    <t>date_dt</t>
  </si>
  <si>
    <t>datetime64[ns]</t>
  </si>
  <si>
    <t>price_combined</t>
  </si>
  <si>
    <t>4663 non-null</t>
  </si>
  <si>
    <t>4588 non-null</t>
  </si>
  <si>
    <t>Average value of EXAA Day Ahead + MC Auction (Austria)</t>
  </si>
  <si>
    <t>data_notes</t>
  </si>
  <si>
    <t>time_series_analysis</t>
  </si>
  <si>
    <t>Combined Values for EXAA Day Ahead and MC Auction prices using each price individually where only one price data available and arithmetical mean for period of overlap</t>
  </si>
  <si>
    <t>Needs to be cast as "datetime" ahead of usage since CSV doesn´t support this format</t>
  </si>
  <si>
    <t xml:space="preserve">Uniform price auctions with single rounds and sealed bids, conducted daily by EEX. Germany has opted out of the common auctioning platform, instead running national auctions through the EEX. Poland has also opted out but continues to participate on the common auction platform at the EEX until further notice. </t>
  </si>
  <si>
    <t>timing_reference</t>
  </si>
  <si>
    <t>ex-post reporting, valid for reference month</t>
  </si>
  <si>
    <t>forward-looking indicator (1 month)</t>
  </si>
  <si>
    <t>forward-looking indicator (1 quarter)</t>
  </si>
  <si>
    <t>forward-looking indicator (1 season)</t>
  </si>
  <si>
    <t>forward-looking indicator (1 year)</t>
  </si>
  <si>
    <t>due to aggregation, some trades (~3%) may be allotted to the day of trade instead of day of delivery</t>
  </si>
  <si>
    <t>quality_notes</t>
  </si>
  <si>
    <t>no</t>
  </si>
  <si>
    <t>daily_availability</t>
  </si>
  <si>
    <t>yes</t>
  </si>
  <si>
    <t>temporal_resolution</t>
  </si>
  <si>
    <t xml:space="preserve">4663 non-null </t>
  </si>
  <si>
    <t xml:space="preserve">187 non-null </t>
  </si>
  <si>
    <t xml:space="preserve">float64 </t>
  </si>
  <si>
    <t>Sum of electricity produced fossil thermal power plants and other fuel sources.</t>
  </si>
  <si>
    <t>Percent</t>
  </si>
  <si>
    <t>Gross electricity generation from non renewable sources (thermal power plants using non-renewable fuels + other fuels)  (Austria)</t>
  </si>
  <si>
    <t>https://www.e-control.at/statistik/e-statistik/charts/str_ges_neu_erz</t>
  </si>
  <si>
    <t>Project specific</t>
  </si>
  <si>
    <t>to many missing values</t>
  </si>
  <si>
    <t>included for completeness</t>
  </si>
  <si>
    <t>Gross electricity generation from renewable sources (hydropower, biomass, wind, photovoltaics but NOT geothermal)  (Austria)</t>
  </si>
  <si>
    <t>Proportion of gross electricity generation from renewables in total gross electricity generation excl. geothermal (Austria)</t>
  </si>
  <si>
    <t>Percentage of electricity generated using renewable sources in the total electricity generated, excl, geothermal</t>
  </si>
  <si>
    <t>Sum of electricity produced using hydropower, biomass, wind, photovoltaics, excl. geothermal</t>
  </si>
  <si>
    <t>prod_total</t>
  </si>
  <si>
    <t>Gross electricity generation from alle sources exkl. geothermal (Austria)</t>
  </si>
  <si>
    <t>Sum of electricity produced by all sources excl. geothermal</t>
  </si>
  <si>
    <t>prod_renewable</t>
  </si>
  <si>
    <t>prod_non_renewable</t>
  </si>
  <si>
    <t>prod_renewables_pct_total</t>
  </si>
  <si>
    <t>Total gross electricity exports Austria)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</si>
</sst>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9" fontId="0" fillId="0" borderId="0" xfId="0" applyNumberFormat="1"/>
    <xf numFmtId="0" fontId="0" fillId="0" borderId="0" xfId="0" applyAlignment="1">
      <alignment horizontal="right"/>
    </xf>
    <xf numFmtId="0" fontId="18" fillId="0" borderId="0" xfId="42"/>
    <xf numFmtId="0" fontId="0" fillId="33" borderId="0" xfId="0" applyFill="1"/>
    <xf numFmtId="14" fontId="0" fillId="0" borderId="0" xfId="0" applyNumberFormat="1"/>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Link" xfId="42" builtinId="8"/>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c.europa.eu/eurostat/cache/metadata/en/nrg_chdd_esms.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11A6-6A6C-4F40-9DA8-81C661F5F4E3}">
  <dimension ref="A1:Z46"/>
  <sheetViews>
    <sheetView tabSelected="1" zoomScaleNormal="100" workbookViewId="0">
      <pane xSplit="2" ySplit="1" topLeftCell="C2" activePane="bottomRight" state="frozen"/>
      <selection pane="topRight" activeCell="C1" sqref="C1"/>
      <selection pane="bottomLeft" activeCell="A2" sqref="A2"/>
      <selection pane="bottomRight" activeCell="Q32" sqref="Q32:R32"/>
    </sheetView>
  </sheetViews>
  <sheetFormatPr baseColWidth="10" defaultRowHeight="14.4" x14ac:dyDescent="0.3"/>
  <cols>
    <col min="2" max="2" width="33.21875" customWidth="1"/>
    <col min="3" max="5" width="0" hidden="1" customWidth="1"/>
    <col min="6" max="6" width="37.5546875" hidden="1" customWidth="1"/>
    <col min="7" max="7" width="0" hidden="1" customWidth="1"/>
    <col min="8" max="12" width="37.5546875" hidden="1" customWidth="1"/>
    <col min="13" max="16" width="0" hidden="1" customWidth="1"/>
  </cols>
  <sheetData>
    <row r="1" spans="1:26" x14ac:dyDescent="0.3">
      <c r="A1" t="s">
        <v>0</v>
      </c>
      <c r="B1" t="s">
        <v>1</v>
      </c>
      <c r="C1" t="s">
        <v>2</v>
      </c>
      <c r="D1" t="s">
        <v>3</v>
      </c>
      <c r="E1" t="s">
        <v>4</v>
      </c>
      <c r="F1" t="s">
        <v>5</v>
      </c>
      <c r="G1" t="s">
        <v>115</v>
      </c>
      <c r="H1" t="s">
        <v>161</v>
      </c>
      <c r="I1" t="s">
        <v>173</v>
      </c>
      <c r="J1" t="s">
        <v>166</v>
      </c>
      <c r="K1" t="s">
        <v>175</v>
      </c>
      <c r="L1" t="s">
        <v>162</v>
      </c>
      <c r="M1" t="s">
        <v>6</v>
      </c>
      <c r="N1" t="s">
        <v>7</v>
      </c>
      <c r="O1" t="s">
        <v>8</v>
      </c>
      <c r="P1" t="s">
        <v>177</v>
      </c>
      <c r="Q1" t="s">
        <v>9</v>
      </c>
      <c r="R1" t="s">
        <v>10</v>
      </c>
      <c r="S1" t="s">
        <v>11</v>
      </c>
      <c r="T1" t="s">
        <v>12</v>
      </c>
      <c r="U1" t="s">
        <v>13</v>
      </c>
      <c r="V1" t="s">
        <v>14</v>
      </c>
      <c r="W1" s="1">
        <v>0.25</v>
      </c>
      <c r="X1" s="1">
        <v>0.5</v>
      </c>
      <c r="Y1" s="1">
        <v>0.75</v>
      </c>
      <c r="Z1" t="s">
        <v>15</v>
      </c>
    </row>
    <row r="2" spans="1:26" x14ac:dyDescent="0.3">
      <c r="A2">
        <v>0</v>
      </c>
      <c r="B2" t="s">
        <v>16</v>
      </c>
      <c r="C2" t="s">
        <v>17</v>
      </c>
      <c r="D2" t="s">
        <v>18</v>
      </c>
      <c r="E2" t="s">
        <v>19</v>
      </c>
      <c r="F2" t="s">
        <v>20</v>
      </c>
      <c r="G2" t="s">
        <v>21</v>
      </c>
      <c r="H2" t="s">
        <v>21</v>
      </c>
      <c r="L2" t="s">
        <v>21</v>
      </c>
      <c r="M2" t="s">
        <v>21</v>
      </c>
      <c r="N2" t="s">
        <v>21</v>
      </c>
      <c r="O2" t="s">
        <v>21</v>
      </c>
      <c r="P2" t="s">
        <v>22</v>
      </c>
      <c r="Q2" s="5">
        <v>39814</v>
      </c>
      <c r="R2" s="5">
        <v>45901</v>
      </c>
    </row>
    <row r="3" spans="1:26" x14ac:dyDescent="0.3">
      <c r="A3">
        <v>1</v>
      </c>
      <c r="B3" t="s">
        <v>23</v>
      </c>
      <c r="C3" t="s">
        <v>17</v>
      </c>
      <c r="D3" t="s">
        <v>24</v>
      </c>
      <c r="E3" t="s">
        <v>19</v>
      </c>
      <c r="F3" t="s">
        <v>20</v>
      </c>
      <c r="G3" t="s">
        <v>21</v>
      </c>
      <c r="H3" t="s">
        <v>21</v>
      </c>
      <c r="L3" t="s">
        <v>21</v>
      </c>
      <c r="M3" t="s">
        <v>21</v>
      </c>
      <c r="N3" t="s">
        <v>21</v>
      </c>
      <c r="O3" t="s">
        <v>21</v>
      </c>
      <c r="P3" t="s">
        <v>22</v>
      </c>
      <c r="Q3" s="5">
        <v>39814</v>
      </c>
      <c r="R3" s="5">
        <v>45901</v>
      </c>
      <c r="S3">
        <v>4663</v>
      </c>
      <c r="T3">
        <v>2019.72</v>
      </c>
      <c r="U3">
        <v>3.24</v>
      </c>
      <c r="V3">
        <v>2009</v>
      </c>
      <c r="W3">
        <v>2017</v>
      </c>
      <c r="X3">
        <v>2020</v>
      </c>
      <c r="Y3">
        <v>2022</v>
      </c>
      <c r="Z3">
        <v>2025</v>
      </c>
    </row>
    <row r="4" spans="1:26" x14ac:dyDescent="0.3">
      <c r="A4">
        <v>2</v>
      </c>
      <c r="B4" t="s">
        <v>25</v>
      </c>
      <c r="C4" t="s">
        <v>17</v>
      </c>
      <c r="D4" t="s">
        <v>24</v>
      </c>
      <c r="E4" t="s">
        <v>19</v>
      </c>
      <c r="F4" t="s">
        <v>20</v>
      </c>
      <c r="G4" t="s">
        <v>21</v>
      </c>
      <c r="H4" t="s">
        <v>21</v>
      </c>
      <c r="L4" t="s">
        <v>21</v>
      </c>
      <c r="M4" t="s">
        <v>21</v>
      </c>
      <c r="N4" t="s">
        <v>21</v>
      </c>
      <c r="O4" t="s">
        <v>21</v>
      </c>
      <c r="P4" t="s">
        <v>22</v>
      </c>
      <c r="Q4" s="5">
        <v>39814</v>
      </c>
      <c r="R4" s="5">
        <v>45901</v>
      </c>
      <c r="S4">
        <v>4663</v>
      </c>
      <c r="T4">
        <v>6.39</v>
      </c>
      <c r="U4">
        <v>3.43</v>
      </c>
      <c r="V4">
        <v>1</v>
      </c>
      <c r="W4">
        <v>3</v>
      </c>
      <c r="X4">
        <v>6</v>
      </c>
      <c r="Y4">
        <v>9</v>
      </c>
      <c r="Z4">
        <v>12</v>
      </c>
    </row>
    <row r="5" spans="1:26" x14ac:dyDescent="0.3">
      <c r="A5">
        <v>3</v>
      </c>
      <c r="B5" t="s">
        <v>26</v>
      </c>
      <c r="C5" t="s">
        <v>17</v>
      </c>
      <c r="D5" t="s">
        <v>24</v>
      </c>
      <c r="E5" t="s">
        <v>19</v>
      </c>
      <c r="F5" t="s">
        <v>20</v>
      </c>
      <c r="G5" t="s">
        <v>21</v>
      </c>
      <c r="H5" t="s">
        <v>21</v>
      </c>
      <c r="L5" t="s">
        <v>21</v>
      </c>
      <c r="M5" t="s">
        <v>21</v>
      </c>
      <c r="N5" t="s">
        <v>21</v>
      </c>
      <c r="O5" t="s">
        <v>21</v>
      </c>
      <c r="P5" t="s">
        <v>22</v>
      </c>
      <c r="Q5" s="5">
        <v>39814</v>
      </c>
      <c r="R5" s="5">
        <v>45901</v>
      </c>
      <c r="S5">
        <v>4663</v>
      </c>
      <c r="T5">
        <v>2.4700000000000002</v>
      </c>
      <c r="U5">
        <v>1.1100000000000001</v>
      </c>
      <c r="V5">
        <v>1</v>
      </c>
      <c r="W5">
        <v>1</v>
      </c>
      <c r="X5">
        <v>2</v>
      </c>
      <c r="Y5">
        <v>3</v>
      </c>
      <c r="Z5">
        <v>4</v>
      </c>
    </row>
    <row r="6" spans="1:26" x14ac:dyDescent="0.3">
      <c r="A6">
        <v>4</v>
      </c>
      <c r="B6" t="s">
        <v>27</v>
      </c>
      <c r="C6" t="s">
        <v>17</v>
      </c>
      <c r="D6" t="s">
        <v>24</v>
      </c>
      <c r="E6" t="s">
        <v>19</v>
      </c>
      <c r="F6" t="s">
        <v>20</v>
      </c>
      <c r="G6" t="s">
        <v>21</v>
      </c>
      <c r="H6" t="s">
        <v>21</v>
      </c>
      <c r="L6" t="s">
        <v>21</v>
      </c>
      <c r="M6" t="s">
        <v>21</v>
      </c>
      <c r="N6" t="s">
        <v>21</v>
      </c>
      <c r="O6" t="s">
        <v>21</v>
      </c>
      <c r="P6" t="s">
        <v>22</v>
      </c>
      <c r="Q6" s="5">
        <v>39814</v>
      </c>
      <c r="R6" s="5">
        <v>45901</v>
      </c>
      <c r="S6">
        <v>4663</v>
      </c>
      <c r="T6">
        <v>26.04</v>
      </c>
      <c r="U6">
        <v>14.97</v>
      </c>
      <c r="V6">
        <v>1</v>
      </c>
      <c r="W6">
        <v>13</v>
      </c>
      <c r="X6">
        <v>26</v>
      </c>
      <c r="Y6">
        <v>39</v>
      </c>
      <c r="Z6">
        <v>53</v>
      </c>
    </row>
    <row r="7" spans="1:26" x14ac:dyDescent="0.3">
      <c r="A7">
        <v>5</v>
      </c>
      <c r="B7" t="s">
        <v>28</v>
      </c>
      <c r="C7" t="s">
        <v>17</v>
      </c>
      <c r="D7" t="s">
        <v>18</v>
      </c>
      <c r="E7" t="s">
        <v>19</v>
      </c>
      <c r="F7" t="s">
        <v>20</v>
      </c>
      <c r="G7" t="s">
        <v>21</v>
      </c>
      <c r="H7" t="s">
        <v>21</v>
      </c>
      <c r="L7" t="s">
        <v>21</v>
      </c>
      <c r="M7" t="s">
        <v>21</v>
      </c>
      <c r="N7" t="s">
        <v>21</v>
      </c>
      <c r="O7" t="s">
        <v>21</v>
      </c>
      <c r="P7" t="s">
        <v>22</v>
      </c>
      <c r="Q7" s="5">
        <v>39814</v>
      </c>
      <c r="R7" s="5">
        <v>45901</v>
      </c>
    </row>
    <row r="8" spans="1:26" x14ac:dyDescent="0.3">
      <c r="A8">
        <v>6</v>
      </c>
      <c r="B8" t="s">
        <v>32</v>
      </c>
      <c r="C8" t="s">
        <v>17</v>
      </c>
      <c r="D8" t="s">
        <v>18</v>
      </c>
      <c r="E8" t="s">
        <v>19</v>
      </c>
      <c r="F8" t="s">
        <v>20</v>
      </c>
      <c r="G8" t="s">
        <v>21</v>
      </c>
      <c r="H8" t="s">
        <v>21</v>
      </c>
      <c r="I8" t="s">
        <v>21</v>
      </c>
      <c r="J8" t="s">
        <v>21</v>
      </c>
      <c r="K8" t="s">
        <v>21</v>
      </c>
      <c r="L8" t="s">
        <v>21</v>
      </c>
      <c r="M8" t="s">
        <v>21</v>
      </c>
      <c r="N8" t="s">
        <v>21</v>
      </c>
      <c r="O8" t="s">
        <v>21</v>
      </c>
      <c r="P8" t="s">
        <v>22</v>
      </c>
      <c r="Q8" s="5">
        <v>39814</v>
      </c>
      <c r="R8" s="5">
        <v>45901</v>
      </c>
    </row>
    <row r="9" spans="1:26" x14ac:dyDescent="0.3">
      <c r="A9">
        <v>7</v>
      </c>
      <c r="B9" t="s">
        <v>33</v>
      </c>
      <c r="C9" t="s">
        <v>34</v>
      </c>
      <c r="D9" t="s">
        <v>24</v>
      </c>
      <c r="E9" t="s">
        <v>35</v>
      </c>
      <c r="F9" t="s">
        <v>36</v>
      </c>
      <c r="G9" t="s">
        <v>116</v>
      </c>
      <c r="I9" t="s">
        <v>172</v>
      </c>
      <c r="J9" t="s">
        <v>167</v>
      </c>
      <c r="M9" t="s">
        <v>37</v>
      </c>
      <c r="N9" t="s">
        <v>38</v>
      </c>
      <c r="O9" t="s">
        <v>39</v>
      </c>
      <c r="P9" t="s">
        <v>22</v>
      </c>
      <c r="Q9" s="5">
        <v>42005</v>
      </c>
      <c r="R9" s="5">
        <v>45838</v>
      </c>
      <c r="S9">
        <v>3136</v>
      </c>
      <c r="T9">
        <v>1.1200000000000001</v>
      </c>
      <c r="U9">
        <v>0.05</v>
      </c>
      <c r="V9">
        <v>0.98</v>
      </c>
      <c r="W9">
        <v>1.08</v>
      </c>
      <c r="X9">
        <v>1.1100000000000001</v>
      </c>
      <c r="Y9">
        <v>1.1499999999999999</v>
      </c>
      <c r="Z9">
        <v>1.23</v>
      </c>
    </row>
    <row r="10" spans="1:26" x14ac:dyDescent="0.3">
      <c r="A10">
        <v>8</v>
      </c>
      <c r="B10" t="s">
        <v>40</v>
      </c>
      <c r="C10" t="s">
        <v>41</v>
      </c>
      <c r="D10" t="s">
        <v>24</v>
      </c>
      <c r="E10" t="s">
        <v>35</v>
      </c>
      <c r="F10" t="s">
        <v>130</v>
      </c>
      <c r="G10" t="s">
        <v>121</v>
      </c>
      <c r="H10" t="s">
        <v>165</v>
      </c>
      <c r="I10" t="s">
        <v>172</v>
      </c>
      <c r="J10" t="s">
        <v>167</v>
      </c>
      <c r="K10" t="s">
        <v>176</v>
      </c>
      <c r="M10" t="s">
        <v>37</v>
      </c>
      <c r="N10" t="s">
        <v>38</v>
      </c>
      <c r="O10" t="s">
        <v>39</v>
      </c>
      <c r="P10" t="s">
        <v>22</v>
      </c>
      <c r="Q10" s="5">
        <v>42005</v>
      </c>
      <c r="R10" s="5">
        <v>45838</v>
      </c>
      <c r="S10">
        <v>2859</v>
      </c>
      <c r="T10">
        <v>39.14</v>
      </c>
      <c r="U10">
        <v>30.33</v>
      </c>
      <c r="V10">
        <v>4</v>
      </c>
      <c r="W10">
        <v>8</v>
      </c>
      <c r="X10">
        <v>26</v>
      </c>
      <c r="Y10">
        <v>69</v>
      </c>
      <c r="Z10">
        <v>98</v>
      </c>
    </row>
    <row r="11" spans="1:26" x14ac:dyDescent="0.3">
      <c r="A11">
        <v>9</v>
      </c>
      <c r="B11" t="s">
        <v>42</v>
      </c>
      <c r="C11" t="s">
        <v>43</v>
      </c>
      <c r="D11" t="s">
        <v>24</v>
      </c>
      <c r="E11" t="s">
        <v>44</v>
      </c>
      <c r="F11" t="s">
        <v>125</v>
      </c>
      <c r="G11" t="s">
        <v>117</v>
      </c>
      <c r="H11" t="s">
        <v>126</v>
      </c>
      <c r="J11" t="s">
        <v>167</v>
      </c>
      <c r="K11" t="s">
        <v>174</v>
      </c>
      <c r="M11" t="s">
        <v>45</v>
      </c>
      <c r="N11" s="3" t="s">
        <v>46</v>
      </c>
      <c r="O11" t="s">
        <v>47</v>
      </c>
      <c r="P11" t="s">
        <v>48</v>
      </c>
      <c r="Q11" s="5">
        <v>41030</v>
      </c>
      <c r="R11" s="5">
        <v>45627</v>
      </c>
      <c r="S11">
        <v>152</v>
      </c>
      <c r="T11">
        <v>2.86</v>
      </c>
      <c r="U11">
        <v>6.3</v>
      </c>
      <c r="V11">
        <v>0</v>
      </c>
      <c r="W11">
        <v>0</v>
      </c>
      <c r="X11">
        <v>0</v>
      </c>
      <c r="Y11">
        <v>1.23</v>
      </c>
      <c r="Z11">
        <v>33.64</v>
      </c>
    </row>
    <row r="12" spans="1:26" x14ac:dyDescent="0.3">
      <c r="A12">
        <v>10</v>
      </c>
      <c r="B12" t="s">
        <v>49</v>
      </c>
      <c r="C12" t="s">
        <v>43</v>
      </c>
      <c r="D12" t="s">
        <v>24</v>
      </c>
      <c r="E12" t="s">
        <v>44</v>
      </c>
      <c r="F12" t="s">
        <v>124</v>
      </c>
      <c r="G12" t="s">
        <v>117</v>
      </c>
      <c r="H12" t="s">
        <v>127</v>
      </c>
      <c r="J12" t="s">
        <v>167</v>
      </c>
      <c r="K12" t="s">
        <v>174</v>
      </c>
      <c r="M12" t="s">
        <v>45</v>
      </c>
      <c r="N12" t="s">
        <v>46</v>
      </c>
      <c r="O12" t="s">
        <v>47</v>
      </c>
      <c r="P12" t="s">
        <v>48</v>
      </c>
      <c r="Q12" s="5">
        <v>41030</v>
      </c>
      <c r="R12" s="5">
        <v>45627</v>
      </c>
      <c r="S12">
        <v>152</v>
      </c>
      <c r="T12">
        <v>272.99</v>
      </c>
      <c r="U12">
        <v>198.36</v>
      </c>
      <c r="V12">
        <v>4.83</v>
      </c>
      <c r="W12">
        <v>67.94</v>
      </c>
      <c r="X12">
        <v>249.08</v>
      </c>
      <c r="Y12">
        <v>441.38</v>
      </c>
      <c r="Z12">
        <v>723.41</v>
      </c>
    </row>
    <row r="13" spans="1:26" x14ac:dyDescent="0.3">
      <c r="A13">
        <v>11</v>
      </c>
      <c r="B13" t="s">
        <v>50</v>
      </c>
      <c r="C13" t="s">
        <v>43</v>
      </c>
      <c r="D13" t="s">
        <v>24</v>
      </c>
      <c r="E13" t="s">
        <v>44</v>
      </c>
      <c r="F13" t="s">
        <v>122</v>
      </c>
      <c r="G13" t="s">
        <v>117</v>
      </c>
      <c r="H13" t="s">
        <v>128</v>
      </c>
      <c r="J13" t="s">
        <v>167</v>
      </c>
      <c r="K13" t="s">
        <v>174</v>
      </c>
      <c r="M13" t="s">
        <v>45</v>
      </c>
      <c r="N13" t="s">
        <v>46</v>
      </c>
      <c r="O13" t="s">
        <v>47</v>
      </c>
      <c r="P13" t="s">
        <v>48</v>
      </c>
      <c r="Q13" s="5">
        <v>41030</v>
      </c>
      <c r="R13" s="5">
        <v>45627</v>
      </c>
      <c r="S13">
        <v>152</v>
      </c>
      <c r="T13">
        <v>9.19</v>
      </c>
      <c r="U13">
        <v>15.69</v>
      </c>
      <c r="V13">
        <v>0</v>
      </c>
      <c r="W13">
        <v>0</v>
      </c>
      <c r="X13">
        <v>0.24</v>
      </c>
      <c r="Y13">
        <v>10.36</v>
      </c>
      <c r="Z13">
        <v>55.9</v>
      </c>
    </row>
    <row r="14" spans="1:26" x14ac:dyDescent="0.3">
      <c r="A14">
        <v>12</v>
      </c>
      <c r="B14" t="s">
        <v>51</v>
      </c>
      <c r="C14" t="s">
        <v>43</v>
      </c>
      <c r="D14" t="s">
        <v>24</v>
      </c>
      <c r="E14" t="s">
        <v>44</v>
      </c>
      <c r="F14" t="s">
        <v>123</v>
      </c>
      <c r="G14" t="s">
        <v>117</v>
      </c>
      <c r="H14" t="s">
        <v>129</v>
      </c>
      <c r="J14" t="s">
        <v>167</v>
      </c>
      <c r="K14" t="s">
        <v>174</v>
      </c>
      <c r="M14" t="s">
        <v>45</v>
      </c>
      <c r="N14" t="s">
        <v>46</v>
      </c>
      <c r="O14" t="s">
        <v>47</v>
      </c>
      <c r="P14" t="s">
        <v>48</v>
      </c>
      <c r="Q14" s="5">
        <v>41030</v>
      </c>
      <c r="R14" s="5">
        <v>45627</v>
      </c>
      <c r="S14">
        <v>152</v>
      </c>
      <c r="T14">
        <v>240.44</v>
      </c>
      <c r="U14">
        <v>176.4</v>
      </c>
      <c r="V14">
        <v>8.18</v>
      </c>
      <c r="W14">
        <v>66.010000000000005</v>
      </c>
      <c r="X14">
        <v>226.25</v>
      </c>
      <c r="Y14">
        <v>397.57</v>
      </c>
      <c r="Z14">
        <v>583.30999999999995</v>
      </c>
    </row>
    <row r="15" spans="1:26" x14ac:dyDescent="0.3">
      <c r="A15">
        <v>13</v>
      </c>
      <c r="B15" t="s">
        <v>52</v>
      </c>
      <c r="C15" t="s">
        <v>53</v>
      </c>
      <c r="D15" t="s">
        <v>24</v>
      </c>
      <c r="E15" t="s">
        <v>54</v>
      </c>
      <c r="F15" s="2" t="s">
        <v>131</v>
      </c>
      <c r="G15" t="s">
        <v>118</v>
      </c>
      <c r="H15" s="2"/>
      <c r="I15" s="2"/>
      <c r="J15" s="4" t="s">
        <v>167</v>
      </c>
      <c r="K15" s="4" t="s">
        <v>174</v>
      </c>
      <c r="L15" s="2"/>
      <c r="M15" t="s">
        <v>55</v>
      </c>
      <c r="N15" t="s">
        <v>56</v>
      </c>
      <c r="O15" t="s">
        <v>57</v>
      </c>
      <c r="P15" t="s">
        <v>48</v>
      </c>
      <c r="Q15" s="5">
        <v>40179</v>
      </c>
      <c r="R15" s="5">
        <v>45839</v>
      </c>
      <c r="S15">
        <v>187</v>
      </c>
      <c r="T15">
        <v>5116606.74</v>
      </c>
      <c r="U15">
        <v>552058.06999999995</v>
      </c>
      <c r="V15">
        <v>3694464</v>
      </c>
      <c r="W15">
        <v>4746614.5</v>
      </c>
      <c r="X15">
        <v>5129843</v>
      </c>
      <c r="Y15">
        <v>5478279</v>
      </c>
      <c r="Z15">
        <v>6761954</v>
      </c>
    </row>
    <row r="16" spans="1:26" x14ac:dyDescent="0.3">
      <c r="A16">
        <v>14</v>
      </c>
      <c r="B16" t="s">
        <v>58</v>
      </c>
      <c r="C16" t="s">
        <v>53</v>
      </c>
      <c r="D16" t="s">
        <v>24</v>
      </c>
      <c r="E16" t="s">
        <v>54</v>
      </c>
      <c r="F16" s="2" t="s">
        <v>132</v>
      </c>
      <c r="G16" t="s">
        <v>118</v>
      </c>
      <c r="H16" s="2"/>
      <c r="I16" s="2"/>
      <c r="J16" s="4" t="s">
        <v>167</v>
      </c>
      <c r="K16" s="4" t="s">
        <v>174</v>
      </c>
      <c r="L16" s="2"/>
      <c r="M16" t="s">
        <v>55</v>
      </c>
      <c r="N16" t="s">
        <v>59</v>
      </c>
      <c r="O16" t="s">
        <v>57</v>
      </c>
      <c r="P16" t="s">
        <v>48</v>
      </c>
      <c r="Q16" s="5">
        <v>40179</v>
      </c>
      <c r="R16" s="5">
        <v>45839</v>
      </c>
      <c r="S16">
        <v>187</v>
      </c>
      <c r="T16">
        <v>5543514.1699999999</v>
      </c>
      <c r="U16">
        <v>470726.98</v>
      </c>
      <c r="V16">
        <v>4747511</v>
      </c>
      <c r="W16">
        <v>5156130</v>
      </c>
      <c r="X16">
        <v>5414854</v>
      </c>
      <c r="Y16">
        <v>5902965</v>
      </c>
      <c r="Z16">
        <v>6906640</v>
      </c>
    </row>
    <row r="17" spans="1:26" x14ac:dyDescent="0.3">
      <c r="A17">
        <v>15</v>
      </c>
      <c r="B17" t="s">
        <v>60</v>
      </c>
      <c r="C17" t="s">
        <v>53</v>
      </c>
      <c r="D17" t="s">
        <v>24</v>
      </c>
      <c r="E17" t="s">
        <v>54</v>
      </c>
      <c r="F17" s="2" t="s">
        <v>133</v>
      </c>
      <c r="G17" t="s">
        <v>118</v>
      </c>
      <c r="H17" s="2"/>
      <c r="I17" s="2"/>
      <c r="J17" s="4" t="s">
        <v>167</v>
      </c>
      <c r="K17" s="4" t="s">
        <v>174</v>
      </c>
      <c r="L17" s="2"/>
      <c r="M17" t="s">
        <v>55</v>
      </c>
      <c r="N17" t="s">
        <v>61</v>
      </c>
      <c r="O17" t="s">
        <v>57</v>
      </c>
      <c r="P17" t="s">
        <v>48</v>
      </c>
      <c r="Q17" s="5">
        <v>40179</v>
      </c>
      <c r="R17" s="5">
        <v>45839</v>
      </c>
      <c r="S17">
        <v>187</v>
      </c>
      <c r="T17">
        <v>3588375.83</v>
      </c>
      <c r="U17">
        <v>802475.08</v>
      </c>
      <c r="V17">
        <v>2120982</v>
      </c>
      <c r="W17">
        <v>2943655</v>
      </c>
      <c r="X17">
        <v>3456835</v>
      </c>
      <c r="Y17">
        <v>4205298</v>
      </c>
      <c r="Z17">
        <v>5314146</v>
      </c>
    </row>
    <row r="18" spans="1:26" x14ac:dyDescent="0.3">
      <c r="A18">
        <v>16</v>
      </c>
      <c r="B18" t="s">
        <v>62</v>
      </c>
      <c r="C18" t="s">
        <v>53</v>
      </c>
      <c r="D18" t="s">
        <v>24</v>
      </c>
      <c r="E18" t="s">
        <v>54</v>
      </c>
      <c r="F18" s="2" t="s">
        <v>134</v>
      </c>
      <c r="G18" t="s">
        <v>118</v>
      </c>
      <c r="H18" s="2"/>
      <c r="I18" s="2"/>
      <c r="J18" s="4" t="s">
        <v>167</v>
      </c>
      <c r="K18" s="4" t="s">
        <v>174</v>
      </c>
      <c r="L18" s="2"/>
      <c r="M18" t="s">
        <v>55</v>
      </c>
      <c r="N18" t="s">
        <v>63</v>
      </c>
      <c r="O18" t="s">
        <v>57</v>
      </c>
      <c r="P18" t="s">
        <v>48</v>
      </c>
      <c r="Q18" s="5">
        <v>40179</v>
      </c>
      <c r="R18" s="5">
        <v>45839</v>
      </c>
      <c r="S18">
        <v>187</v>
      </c>
      <c r="T18">
        <v>174926.8</v>
      </c>
      <c r="U18">
        <v>194674.52</v>
      </c>
      <c r="V18">
        <v>33</v>
      </c>
      <c r="W18">
        <v>7125.5</v>
      </c>
      <c r="X18">
        <v>81160</v>
      </c>
      <c r="Y18">
        <v>306287.5</v>
      </c>
      <c r="Z18">
        <v>648686</v>
      </c>
    </row>
    <row r="19" spans="1:26" x14ac:dyDescent="0.3">
      <c r="A19">
        <v>17</v>
      </c>
      <c r="B19" t="s">
        <v>64</v>
      </c>
      <c r="C19" t="s">
        <v>53</v>
      </c>
      <c r="D19" t="s">
        <v>24</v>
      </c>
      <c r="E19" t="s">
        <v>54</v>
      </c>
      <c r="F19" s="2" t="s">
        <v>135</v>
      </c>
      <c r="G19" t="s">
        <v>118</v>
      </c>
      <c r="H19" s="2"/>
      <c r="I19" s="2"/>
      <c r="J19" s="4" t="s">
        <v>167</v>
      </c>
      <c r="K19" s="4" t="s">
        <v>174</v>
      </c>
      <c r="L19" s="2"/>
      <c r="M19" t="s">
        <v>55</v>
      </c>
      <c r="N19" t="s">
        <v>65</v>
      </c>
      <c r="O19" t="s">
        <v>57</v>
      </c>
      <c r="P19" t="s">
        <v>48</v>
      </c>
      <c r="Q19" s="5">
        <v>40179</v>
      </c>
      <c r="R19" s="5">
        <v>45839</v>
      </c>
      <c r="S19">
        <v>187</v>
      </c>
      <c r="T19">
        <v>159984.10999999999</v>
      </c>
      <c r="U19">
        <v>20624.97</v>
      </c>
      <c r="V19">
        <v>89908</v>
      </c>
      <c r="W19">
        <v>147664.5</v>
      </c>
      <c r="X19">
        <v>163274</v>
      </c>
      <c r="Y19">
        <v>174615.5</v>
      </c>
      <c r="Z19">
        <v>206699</v>
      </c>
    </row>
    <row r="20" spans="1:26" x14ac:dyDescent="0.3">
      <c r="A20">
        <v>18</v>
      </c>
      <c r="B20" t="s">
        <v>66</v>
      </c>
      <c r="C20" t="s">
        <v>53</v>
      </c>
      <c r="D20" t="s">
        <v>24</v>
      </c>
      <c r="E20" t="s">
        <v>54</v>
      </c>
      <c r="F20" s="2" t="s">
        <v>136</v>
      </c>
      <c r="G20" t="s">
        <v>118</v>
      </c>
      <c r="H20" s="2"/>
      <c r="I20" s="2"/>
      <c r="J20" s="4" t="s">
        <v>167</v>
      </c>
      <c r="K20" s="4" t="s">
        <v>174</v>
      </c>
      <c r="L20" s="2"/>
      <c r="M20" t="s">
        <v>55</v>
      </c>
      <c r="N20" t="s">
        <v>67</v>
      </c>
      <c r="O20" t="s">
        <v>57</v>
      </c>
      <c r="P20" t="s">
        <v>48</v>
      </c>
      <c r="Q20" s="5">
        <v>40179</v>
      </c>
      <c r="R20" s="5">
        <v>45839</v>
      </c>
      <c r="S20">
        <v>187</v>
      </c>
      <c r="T20">
        <v>63111.67</v>
      </c>
      <c r="U20">
        <v>33811.69</v>
      </c>
      <c r="V20">
        <v>17128</v>
      </c>
      <c r="W20">
        <v>49931</v>
      </c>
      <c r="X20">
        <v>55798</v>
      </c>
      <c r="Y20">
        <v>63195.5</v>
      </c>
      <c r="Z20">
        <v>279863</v>
      </c>
    </row>
    <row r="21" spans="1:26" x14ac:dyDescent="0.3">
      <c r="A21">
        <v>19</v>
      </c>
      <c r="B21" t="s">
        <v>68</v>
      </c>
      <c r="C21" t="s">
        <v>53</v>
      </c>
      <c r="D21" t="s">
        <v>24</v>
      </c>
      <c r="E21" t="s">
        <v>54</v>
      </c>
      <c r="F21" s="2" t="s">
        <v>137</v>
      </c>
      <c r="G21" t="s">
        <v>118</v>
      </c>
      <c r="H21" s="2"/>
      <c r="I21" s="2"/>
      <c r="J21" s="4" t="s">
        <v>167</v>
      </c>
      <c r="K21" s="4" t="s">
        <v>174</v>
      </c>
      <c r="L21" s="2"/>
      <c r="M21" t="s">
        <v>55</v>
      </c>
      <c r="N21" t="s">
        <v>69</v>
      </c>
      <c r="O21" t="s">
        <v>57</v>
      </c>
      <c r="P21" t="s">
        <v>48</v>
      </c>
      <c r="Q21" s="5">
        <v>40179</v>
      </c>
      <c r="R21" s="5">
        <v>45839</v>
      </c>
      <c r="S21">
        <v>187</v>
      </c>
      <c r="T21">
        <v>800654.01</v>
      </c>
      <c r="U21">
        <v>514869.21</v>
      </c>
      <c r="V21">
        <v>113813</v>
      </c>
      <c r="W21">
        <v>345834.5</v>
      </c>
      <c r="X21">
        <v>721495</v>
      </c>
      <c r="Y21">
        <v>1213242</v>
      </c>
      <c r="Z21">
        <v>2280671</v>
      </c>
    </row>
    <row r="22" spans="1:26" x14ac:dyDescent="0.3">
      <c r="A22">
        <v>20</v>
      </c>
      <c r="B22" t="s">
        <v>70</v>
      </c>
      <c r="C22" t="s">
        <v>53</v>
      </c>
      <c r="D22" t="s">
        <v>24</v>
      </c>
      <c r="E22" t="s">
        <v>54</v>
      </c>
      <c r="F22" s="2" t="s">
        <v>138</v>
      </c>
      <c r="G22" t="s">
        <v>118</v>
      </c>
      <c r="H22" s="2"/>
      <c r="I22" s="2"/>
      <c r="J22" s="4" t="s">
        <v>167</v>
      </c>
      <c r="K22" s="4" t="s">
        <v>174</v>
      </c>
      <c r="L22" s="2"/>
      <c r="M22" t="s">
        <v>55</v>
      </c>
      <c r="N22" t="s">
        <v>71</v>
      </c>
      <c r="O22" t="s">
        <v>57</v>
      </c>
      <c r="P22" t="s">
        <v>48</v>
      </c>
      <c r="Q22" s="5">
        <v>40179</v>
      </c>
      <c r="R22" s="5">
        <v>45839</v>
      </c>
      <c r="S22">
        <v>187</v>
      </c>
      <c r="T22">
        <v>1198676.5900000001</v>
      </c>
      <c r="U22">
        <v>627295.64</v>
      </c>
      <c r="V22">
        <v>306311</v>
      </c>
      <c r="W22">
        <v>627226</v>
      </c>
      <c r="X22">
        <v>1118749</v>
      </c>
      <c r="Y22">
        <v>1638134</v>
      </c>
      <c r="Z22">
        <v>2984088</v>
      </c>
    </row>
    <row r="23" spans="1:26" x14ac:dyDescent="0.3">
      <c r="A23">
        <v>21</v>
      </c>
      <c r="B23" t="s">
        <v>72</v>
      </c>
      <c r="C23" t="s">
        <v>53</v>
      </c>
      <c r="D23" t="s">
        <v>24</v>
      </c>
      <c r="E23" t="s">
        <v>54</v>
      </c>
      <c r="F23" s="2" t="s">
        <v>139</v>
      </c>
      <c r="G23" t="s">
        <v>118</v>
      </c>
      <c r="H23" s="2"/>
      <c r="I23" s="2"/>
      <c r="J23" s="4" t="s">
        <v>167</v>
      </c>
      <c r="K23" s="4" t="s">
        <v>174</v>
      </c>
      <c r="L23" s="2"/>
      <c r="M23" t="s">
        <v>55</v>
      </c>
      <c r="N23" t="s">
        <v>73</v>
      </c>
      <c r="O23" t="s">
        <v>57</v>
      </c>
      <c r="P23" t="s">
        <v>48</v>
      </c>
      <c r="Q23" s="5">
        <v>40179</v>
      </c>
      <c r="R23" s="5">
        <v>45839</v>
      </c>
      <c r="S23">
        <v>187</v>
      </c>
      <c r="T23">
        <v>263748.3</v>
      </c>
      <c r="U23">
        <v>17131.14</v>
      </c>
      <c r="V23">
        <v>213230</v>
      </c>
      <c r="W23">
        <v>253023</v>
      </c>
      <c r="X23">
        <v>264798</v>
      </c>
      <c r="Y23">
        <v>276175.5</v>
      </c>
      <c r="Z23">
        <v>311375</v>
      </c>
    </row>
    <row r="24" spans="1:26" x14ac:dyDescent="0.3">
      <c r="A24">
        <v>22</v>
      </c>
      <c r="B24" t="s">
        <v>74</v>
      </c>
      <c r="C24" t="s">
        <v>53</v>
      </c>
      <c r="D24" t="s">
        <v>24</v>
      </c>
      <c r="E24" t="s">
        <v>54</v>
      </c>
      <c r="F24" s="2" t="s">
        <v>140</v>
      </c>
      <c r="G24" t="s">
        <v>118</v>
      </c>
      <c r="H24" s="2"/>
      <c r="I24" s="2"/>
      <c r="J24" s="4" t="s">
        <v>167</v>
      </c>
      <c r="K24" s="4" t="s">
        <v>174</v>
      </c>
      <c r="L24" s="2"/>
      <c r="M24" t="s">
        <v>55</v>
      </c>
      <c r="N24" t="s">
        <v>75</v>
      </c>
      <c r="O24" t="s">
        <v>57</v>
      </c>
      <c r="P24" t="s">
        <v>48</v>
      </c>
      <c r="Q24" s="5">
        <v>40179</v>
      </c>
      <c r="R24" s="5">
        <v>45839</v>
      </c>
      <c r="S24">
        <v>187</v>
      </c>
      <c r="T24">
        <v>113501.25</v>
      </c>
      <c r="U24">
        <v>10616.73</v>
      </c>
      <c r="V24">
        <v>78498</v>
      </c>
      <c r="W24">
        <v>108306</v>
      </c>
      <c r="X24">
        <v>114519</v>
      </c>
      <c r="Y24">
        <v>120831.5</v>
      </c>
      <c r="Z24">
        <v>150803</v>
      </c>
    </row>
    <row r="25" spans="1:26" x14ac:dyDescent="0.3">
      <c r="A25">
        <v>23</v>
      </c>
      <c r="B25" t="s">
        <v>76</v>
      </c>
      <c r="C25" t="s">
        <v>53</v>
      </c>
      <c r="D25" t="s">
        <v>24</v>
      </c>
      <c r="E25" t="s">
        <v>54</v>
      </c>
      <c r="F25" s="2" t="s">
        <v>141</v>
      </c>
      <c r="G25" t="s">
        <v>118</v>
      </c>
      <c r="H25" s="2"/>
      <c r="I25" s="2"/>
      <c r="J25" s="4" t="s">
        <v>167</v>
      </c>
      <c r="K25" s="4" t="s">
        <v>174</v>
      </c>
      <c r="L25" s="2"/>
      <c r="M25" t="s">
        <v>55</v>
      </c>
      <c r="N25" t="s">
        <v>77</v>
      </c>
      <c r="O25" t="s">
        <v>57</v>
      </c>
      <c r="P25" t="s">
        <v>48</v>
      </c>
      <c r="Q25" s="5">
        <v>40179</v>
      </c>
      <c r="R25" s="5">
        <v>45839</v>
      </c>
      <c r="S25">
        <v>187</v>
      </c>
      <c r="T25">
        <v>69402.289999999994</v>
      </c>
      <c r="U25">
        <v>11437.16</v>
      </c>
      <c r="V25">
        <v>37214</v>
      </c>
      <c r="W25">
        <v>61438</v>
      </c>
      <c r="X25">
        <v>69199</v>
      </c>
      <c r="Y25">
        <v>78099.5</v>
      </c>
      <c r="Z25">
        <v>94674</v>
      </c>
    </row>
    <row r="26" spans="1:26" x14ac:dyDescent="0.3">
      <c r="A26">
        <v>24</v>
      </c>
      <c r="B26" t="s">
        <v>78</v>
      </c>
      <c r="C26" t="s">
        <v>53</v>
      </c>
      <c r="D26" t="s">
        <v>24</v>
      </c>
      <c r="E26" t="s">
        <v>54</v>
      </c>
      <c r="F26" s="2" t="s">
        <v>142</v>
      </c>
      <c r="G26" t="s">
        <v>118</v>
      </c>
      <c r="H26" s="2"/>
      <c r="I26" s="2"/>
      <c r="J26" s="4" t="s">
        <v>167</v>
      </c>
      <c r="K26" s="4" t="s">
        <v>174</v>
      </c>
      <c r="L26" s="2"/>
      <c r="M26" t="s">
        <v>55</v>
      </c>
      <c r="N26" t="s">
        <v>79</v>
      </c>
      <c r="O26" t="s">
        <v>57</v>
      </c>
      <c r="P26" t="s">
        <v>48</v>
      </c>
      <c r="Q26" s="5">
        <v>40179</v>
      </c>
      <c r="R26" s="5">
        <v>45839</v>
      </c>
      <c r="S26">
        <v>187</v>
      </c>
      <c r="T26">
        <v>1645328.42</v>
      </c>
      <c r="U26">
        <v>632513.38</v>
      </c>
      <c r="V26">
        <v>725252</v>
      </c>
      <c r="W26">
        <v>1074283</v>
      </c>
      <c r="X26">
        <v>1540799</v>
      </c>
      <c r="Y26">
        <v>2105267</v>
      </c>
      <c r="Z26">
        <v>3458485</v>
      </c>
    </row>
    <row r="27" spans="1:26" x14ac:dyDescent="0.3">
      <c r="A27">
        <v>25</v>
      </c>
      <c r="B27" t="s">
        <v>80</v>
      </c>
      <c r="C27" t="s">
        <v>53</v>
      </c>
      <c r="D27" t="s">
        <v>24</v>
      </c>
      <c r="E27" t="s">
        <v>54</v>
      </c>
      <c r="F27" s="2" t="s">
        <v>143</v>
      </c>
      <c r="G27" t="s">
        <v>118</v>
      </c>
      <c r="H27" s="2"/>
      <c r="I27" s="2"/>
      <c r="J27" s="4" t="s">
        <v>167</v>
      </c>
      <c r="K27" s="4" t="s">
        <v>174</v>
      </c>
      <c r="L27" s="2"/>
      <c r="M27" t="s">
        <v>55</v>
      </c>
      <c r="N27" t="s">
        <v>81</v>
      </c>
      <c r="O27" t="s">
        <v>57</v>
      </c>
      <c r="P27" t="s">
        <v>48</v>
      </c>
      <c r="Q27" s="5">
        <v>40179</v>
      </c>
      <c r="R27" s="5">
        <v>45839</v>
      </c>
      <c r="S27">
        <v>187</v>
      </c>
      <c r="T27">
        <v>463768.55</v>
      </c>
      <c r="U27">
        <v>240764.89</v>
      </c>
      <c r="V27">
        <v>108088</v>
      </c>
      <c r="W27">
        <v>260147.5</v>
      </c>
      <c r="X27">
        <v>431233</v>
      </c>
      <c r="Y27">
        <v>615568.5</v>
      </c>
      <c r="Z27">
        <v>1150902</v>
      </c>
    </row>
    <row r="28" spans="1:26" x14ac:dyDescent="0.3">
      <c r="A28">
        <v>26</v>
      </c>
      <c r="B28" t="s">
        <v>82</v>
      </c>
      <c r="C28" t="s">
        <v>53</v>
      </c>
      <c r="D28" t="s">
        <v>24</v>
      </c>
      <c r="E28" t="s">
        <v>54</v>
      </c>
      <c r="F28" s="2" t="s">
        <v>144</v>
      </c>
      <c r="G28" t="s">
        <v>118</v>
      </c>
      <c r="H28" s="2"/>
      <c r="I28" s="2"/>
      <c r="J28" s="4" t="s">
        <v>167</v>
      </c>
      <c r="K28" s="4" t="s">
        <v>174</v>
      </c>
      <c r="L28" s="2"/>
      <c r="M28" t="s">
        <v>55</v>
      </c>
      <c r="N28" t="s">
        <v>83</v>
      </c>
      <c r="O28" t="s">
        <v>57</v>
      </c>
      <c r="P28" t="s">
        <v>48</v>
      </c>
      <c r="Q28" s="5">
        <v>40179</v>
      </c>
      <c r="R28" s="5">
        <v>45839</v>
      </c>
      <c r="S28">
        <v>187</v>
      </c>
      <c r="T28">
        <v>183550.56</v>
      </c>
      <c r="U28">
        <v>245510.61</v>
      </c>
      <c r="V28">
        <v>1198</v>
      </c>
      <c r="W28">
        <v>32521</v>
      </c>
      <c r="X28">
        <v>101481</v>
      </c>
      <c r="Y28">
        <v>213855</v>
      </c>
      <c r="Z28">
        <v>1348337</v>
      </c>
    </row>
    <row r="29" spans="1:26" x14ac:dyDescent="0.3">
      <c r="A29">
        <v>27</v>
      </c>
      <c r="B29" t="s">
        <v>84</v>
      </c>
      <c r="C29" t="s">
        <v>53</v>
      </c>
      <c r="D29" t="s">
        <v>24</v>
      </c>
      <c r="E29" t="s">
        <v>54</v>
      </c>
      <c r="F29" s="2" t="s">
        <v>145</v>
      </c>
      <c r="G29" t="s">
        <v>118</v>
      </c>
      <c r="H29" s="2"/>
      <c r="I29" s="2"/>
      <c r="J29" s="4" t="s">
        <v>167</v>
      </c>
      <c r="K29" s="4" t="s">
        <v>174</v>
      </c>
      <c r="L29" s="2"/>
      <c r="M29" t="s">
        <v>55</v>
      </c>
      <c r="N29" t="s">
        <v>85</v>
      </c>
      <c r="O29" t="s">
        <v>57</v>
      </c>
      <c r="P29" t="s">
        <v>48</v>
      </c>
      <c r="Q29" s="5">
        <v>40179</v>
      </c>
      <c r="R29" s="5">
        <v>45839</v>
      </c>
      <c r="S29">
        <v>187</v>
      </c>
      <c r="T29">
        <v>5885550.8799999999</v>
      </c>
      <c r="U29">
        <v>592251.89</v>
      </c>
      <c r="V29">
        <v>4297528</v>
      </c>
      <c r="W29">
        <v>5481020</v>
      </c>
      <c r="X29">
        <v>5905489</v>
      </c>
      <c r="Y29">
        <v>6295739</v>
      </c>
      <c r="Z29">
        <v>7606736</v>
      </c>
    </row>
    <row r="30" spans="1:26" x14ac:dyDescent="0.3">
      <c r="A30">
        <v>28</v>
      </c>
      <c r="B30" t="s">
        <v>86</v>
      </c>
      <c r="C30" t="s">
        <v>53</v>
      </c>
      <c r="D30" t="s">
        <v>24</v>
      </c>
      <c r="E30" t="s">
        <v>54</v>
      </c>
      <c r="F30" s="2" t="s">
        <v>146</v>
      </c>
      <c r="G30" t="s">
        <v>118</v>
      </c>
      <c r="H30" s="2"/>
      <c r="I30" s="2"/>
      <c r="J30" s="4" t="s">
        <v>167</v>
      </c>
      <c r="K30" s="4" t="s">
        <v>174</v>
      </c>
      <c r="L30" s="2"/>
      <c r="M30" t="s">
        <v>55</v>
      </c>
      <c r="N30" t="s">
        <v>87</v>
      </c>
      <c r="O30" t="s">
        <v>57</v>
      </c>
      <c r="P30" t="s">
        <v>48</v>
      </c>
      <c r="Q30" s="5">
        <v>40179</v>
      </c>
      <c r="R30" s="5">
        <v>45839</v>
      </c>
      <c r="S30">
        <v>187</v>
      </c>
      <c r="T30">
        <v>2105126.2999999998</v>
      </c>
      <c r="U30">
        <v>591370.41</v>
      </c>
      <c r="V30">
        <v>757343</v>
      </c>
      <c r="W30">
        <v>1646050</v>
      </c>
      <c r="X30">
        <v>2129798</v>
      </c>
      <c r="Y30">
        <v>2579672.5</v>
      </c>
      <c r="Z30">
        <v>3552566</v>
      </c>
    </row>
    <row r="31" spans="1:26" x14ac:dyDescent="0.3">
      <c r="A31">
        <v>29</v>
      </c>
      <c r="B31" t="s">
        <v>88</v>
      </c>
      <c r="C31" t="s">
        <v>53</v>
      </c>
      <c r="D31" t="s">
        <v>24</v>
      </c>
      <c r="E31" t="s">
        <v>54</v>
      </c>
      <c r="F31" s="2" t="s">
        <v>198</v>
      </c>
      <c r="G31" t="s">
        <v>118</v>
      </c>
      <c r="H31" s="2"/>
      <c r="I31" s="2"/>
      <c r="J31" s="4" t="s">
        <v>167</v>
      </c>
      <c r="K31" s="4" t="s">
        <v>174</v>
      </c>
      <c r="L31" s="2"/>
      <c r="M31" t="s">
        <v>55</v>
      </c>
      <c r="N31" t="s">
        <v>89</v>
      </c>
      <c r="O31" t="s">
        <v>57</v>
      </c>
      <c r="P31" t="s">
        <v>48</v>
      </c>
      <c r="Q31" s="5">
        <v>40179</v>
      </c>
      <c r="R31" s="5">
        <v>45839</v>
      </c>
      <c r="S31">
        <v>187</v>
      </c>
      <c r="T31">
        <v>1685327.86</v>
      </c>
      <c r="U31">
        <v>302546.23</v>
      </c>
      <c r="V31">
        <v>949061</v>
      </c>
      <c r="W31">
        <v>1467035.5</v>
      </c>
      <c r="X31">
        <v>1649703</v>
      </c>
      <c r="Y31">
        <v>1881317.5</v>
      </c>
      <c r="Z31">
        <v>2587346</v>
      </c>
    </row>
    <row r="32" spans="1:26" x14ac:dyDescent="0.3">
      <c r="A32">
        <v>30</v>
      </c>
      <c r="B32" t="s">
        <v>90</v>
      </c>
      <c r="C32" t="s">
        <v>91</v>
      </c>
      <c r="D32" t="s">
        <v>24</v>
      </c>
      <c r="E32" t="s">
        <v>92</v>
      </c>
      <c r="F32" s="2" t="s">
        <v>147</v>
      </c>
      <c r="G32" t="s">
        <v>118</v>
      </c>
      <c r="H32" s="2"/>
      <c r="I32" s="2"/>
      <c r="J32" s="2" t="s">
        <v>168</v>
      </c>
      <c r="K32" s="4" t="s">
        <v>174</v>
      </c>
      <c r="L32" s="2"/>
      <c r="M32" t="s">
        <v>93</v>
      </c>
      <c r="N32" t="s">
        <v>94</v>
      </c>
      <c r="O32" t="s">
        <v>95</v>
      </c>
      <c r="P32" t="s">
        <v>48</v>
      </c>
      <c r="Q32" s="5">
        <v>43831</v>
      </c>
      <c r="R32" s="5">
        <v>45901</v>
      </c>
      <c r="S32">
        <v>69</v>
      </c>
      <c r="T32">
        <v>51.66</v>
      </c>
      <c r="U32">
        <v>46.01</v>
      </c>
      <c r="V32">
        <v>5.93</v>
      </c>
      <c r="W32">
        <v>25.07</v>
      </c>
      <c r="X32">
        <v>37.24</v>
      </c>
      <c r="Y32">
        <v>55.25</v>
      </c>
      <c r="Z32">
        <v>215.93</v>
      </c>
    </row>
    <row r="33" spans="1:26" x14ac:dyDescent="0.3">
      <c r="A33">
        <v>31</v>
      </c>
      <c r="B33" t="s">
        <v>96</v>
      </c>
      <c r="C33" t="s">
        <v>97</v>
      </c>
      <c r="D33" t="s">
        <v>24</v>
      </c>
      <c r="E33" t="s">
        <v>92</v>
      </c>
      <c r="F33" s="2" t="s">
        <v>148</v>
      </c>
      <c r="G33" t="s">
        <v>118</v>
      </c>
      <c r="H33" s="2" t="s">
        <v>187</v>
      </c>
      <c r="I33" s="2" t="s">
        <v>186</v>
      </c>
      <c r="J33" s="2" t="s">
        <v>169</v>
      </c>
      <c r="K33" s="4" t="s">
        <v>174</v>
      </c>
      <c r="L33" s="2"/>
      <c r="M33" t="s">
        <v>93</v>
      </c>
      <c r="N33" t="s">
        <v>94</v>
      </c>
      <c r="O33" t="s">
        <v>95</v>
      </c>
      <c r="P33" t="s">
        <v>48</v>
      </c>
      <c r="Q33" s="5">
        <v>43831</v>
      </c>
      <c r="R33" s="5">
        <v>45839</v>
      </c>
      <c r="S33">
        <v>23</v>
      </c>
      <c r="T33">
        <v>52.81</v>
      </c>
      <c r="U33">
        <v>48.26</v>
      </c>
      <c r="V33">
        <v>7.15</v>
      </c>
      <c r="W33">
        <v>20.93</v>
      </c>
      <c r="X33">
        <v>39.67</v>
      </c>
      <c r="Y33">
        <v>53.12</v>
      </c>
      <c r="Z33">
        <v>213.98</v>
      </c>
    </row>
    <row r="34" spans="1:26" x14ac:dyDescent="0.3">
      <c r="A34">
        <v>32</v>
      </c>
      <c r="B34" t="s">
        <v>98</v>
      </c>
      <c r="C34" t="s">
        <v>99</v>
      </c>
      <c r="D34" t="s">
        <v>24</v>
      </c>
      <c r="E34" t="s">
        <v>92</v>
      </c>
      <c r="F34" s="2" t="s">
        <v>149</v>
      </c>
      <c r="G34" t="s">
        <v>118</v>
      </c>
      <c r="H34" s="2" t="s">
        <v>187</v>
      </c>
      <c r="I34" s="2" t="s">
        <v>186</v>
      </c>
      <c r="J34" s="2" t="s">
        <v>170</v>
      </c>
      <c r="K34" s="4" t="s">
        <v>174</v>
      </c>
      <c r="L34" s="2"/>
      <c r="M34" t="s">
        <v>93</v>
      </c>
      <c r="N34" t="s">
        <v>94</v>
      </c>
      <c r="O34" t="s">
        <v>95</v>
      </c>
      <c r="P34" t="s">
        <v>48</v>
      </c>
      <c r="Q34" s="5">
        <v>43922</v>
      </c>
      <c r="R34" s="5">
        <v>45748</v>
      </c>
      <c r="S34">
        <v>11</v>
      </c>
      <c r="T34">
        <v>52.75</v>
      </c>
      <c r="U34">
        <v>43.5</v>
      </c>
      <c r="V34">
        <v>12.26</v>
      </c>
      <c r="W34">
        <v>25.22</v>
      </c>
      <c r="X34">
        <v>39.1</v>
      </c>
      <c r="Y34">
        <v>62.35</v>
      </c>
      <c r="Z34">
        <v>158.6</v>
      </c>
    </row>
    <row r="35" spans="1:26" x14ac:dyDescent="0.3">
      <c r="A35">
        <v>33</v>
      </c>
      <c r="B35" t="s">
        <v>100</v>
      </c>
      <c r="C35" t="s">
        <v>97</v>
      </c>
      <c r="D35" t="s">
        <v>24</v>
      </c>
      <c r="E35" t="s">
        <v>92</v>
      </c>
      <c r="F35" s="2" t="s">
        <v>150</v>
      </c>
      <c r="G35" t="s">
        <v>118</v>
      </c>
      <c r="H35" s="2" t="s">
        <v>187</v>
      </c>
      <c r="I35" s="2" t="s">
        <v>186</v>
      </c>
      <c r="J35" s="2" t="s">
        <v>171</v>
      </c>
      <c r="K35" s="4" t="s">
        <v>174</v>
      </c>
      <c r="L35" s="2"/>
      <c r="M35" t="s">
        <v>93</v>
      </c>
      <c r="N35" t="s">
        <v>94</v>
      </c>
      <c r="O35" t="s">
        <v>95</v>
      </c>
      <c r="P35" t="s">
        <v>48</v>
      </c>
      <c r="Q35" s="5">
        <v>43831</v>
      </c>
      <c r="R35" s="5">
        <v>45839</v>
      </c>
      <c r="S35">
        <v>23</v>
      </c>
      <c r="T35">
        <v>48.79</v>
      </c>
      <c r="U35">
        <v>40.33</v>
      </c>
      <c r="V35">
        <v>10.48</v>
      </c>
      <c r="W35">
        <v>17.399999999999999</v>
      </c>
      <c r="X35">
        <v>41.61</v>
      </c>
      <c r="Y35">
        <v>51.22</v>
      </c>
      <c r="Z35">
        <v>162.34</v>
      </c>
    </row>
    <row r="36" spans="1:26" x14ac:dyDescent="0.3">
      <c r="A36">
        <v>34</v>
      </c>
      <c r="B36" t="s">
        <v>105</v>
      </c>
      <c r="C36" t="s">
        <v>106</v>
      </c>
      <c r="D36" t="s">
        <v>24</v>
      </c>
      <c r="E36" t="s">
        <v>101</v>
      </c>
      <c r="F36" s="2" t="s">
        <v>107</v>
      </c>
      <c r="G36" t="s">
        <v>117</v>
      </c>
      <c r="H36" s="2"/>
      <c r="I36" s="2"/>
      <c r="J36" t="s">
        <v>167</v>
      </c>
      <c r="K36" t="s">
        <v>174</v>
      </c>
      <c r="L36" s="2"/>
      <c r="M36" t="s">
        <v>102</v>
      </c>
      <c r="N36" t="s">
        <v>103</v>
      </c>
      <c r="O36" t="s">
        <v>104</v>
      </c>
      <c r="P36" t="s">
        <v>48</v>
      </c>
      <c r="Q36" s="5">
        <v>42370</v>
      </c>
      <c r="R36" s="5">
        <v>45839</v>
      </c>
      <c r="S36">
        <v>115</v>
      </c>
      <c r="T36">
        <v>114.81</v>
      </c>
      <c r="U36">
        <v>12.66</v>
      </c>
      <c r="V36">
        <v>99.8</v>
      </c>
      <c r="W36">
        <v>104.9</v>
      </c>
      <c r="X36">
        <v>108.5</v>
      </c>
      <c r="Y36">
        <v>128.19999999999999</v>
      </c>
      <c r="Z36">
        <v>139</v>
      </c>
    </row>
    <row r="37" spans="1:26" x14ac:dyDescent="0.3">
      <c r="A37">
        <v>35</v>
      </c>
      <c r="B37" t="s">
        <v>108</v>
      </c>
      <c r="C37" t="s">
        <v>109</v>
      </c>
      <c r="D37" t="s">
        <v>24</v>
      </c>
      <c r="E37" t="s">
        <v>101</v>
      </c>
      <c r="F37" s="2" t="s">
        <v>151</v>
      </c>
      <c r="G37" t="s">
        <v>119</v>
      </c>
      <c r="H37" s="2"/>
      <c r="I37" s="2"/>
      <c r="J37" t="s">
        <v>167</v>
      </c>
      <c r="K37" t="s">
        <v>174</v>
      </c>
      <c r="L37" s="2"/>
      <c r="M37" t="s">
        <v>102</v>
      </c>
      <c r="N37" t="s">
        <v>103</v>
      </c>
      <c r="O37" t="s">
        <v>104</v>
      </c>
      <c r="P37" t="s">
        <v>48</v>
      </c>
      <c r="Q37" s="5">
        <v>39814</v>
      </c>
      <c r="R37" s="5">
        <v>45809</v>
      </c>
      <c r="S37">
        <v>198</v>
      </c>
      <c r="T37">
        <v>12118504206</v>
      </c>
      <c r="U37">
        <v>2717528891</v>
      </c>
      <c r="V37">
        <v>6516418009</v>
      </c>
      <c r="W37">
        <v>10215539561</v>
      </c>
      <c r="X37">
        <v>11507435116</v>
      </c>
      <c r="Y37">
        <v>13806722775</v>
      </c>
      <c r="Z37">
        <v>20151824274</v>
      </c>
    </row>
    <row r="38" spans="1:26" ht="15" customHeight="1" x14ac:dyDescent="0.3">
      <c r="A38">
        <v>36</v>
      </c>
      <c r="B38" t="s">
        <v>110</v>
      </c>
      <c r="C38" t="s">
        <v>111</v>
      </c>
      <c r="D38" t="s">
        <v>24</v>
      </c>
      <c r="E38" t="s">
        <v>101</v>
      </c>
      <c r="F38" s="2" t="s">
        <v>112</v>
      </c>
      <c r="G38" t="s">
        <v>120</v>
      </c>
      <c r="H38" s="2"/>
      <c r="I38" s="2"/>
      <c r="J38" t="s">
        <v>167</v>
      </c>
      <c r="K38" t="s">
        <v>174</v>
      </c>
      <c r="L38" s="2"/>
      <c r="M38" t="s">
        <v>102</v>
      </c>
      <c r="N38" t="s">
        <v>103</v>
      </c>
      <c r="O38" t="s">
        <v>104</v>
      </c>
      <c r="P38" t="s">
        <v>48</v>
      </c>
      <c r="Q38" s="5">
        <v>39814</v>
      </c>
      <c r="R38" s="5">
        <v>45839</v>
      </c>
      <c r="S38">
        <v>199</v>
      </c>
      <c r="T38">
        <v>11097922.41</v>
      </c>
      <c r="U38">
        <v>4993272.3099999996</v>
      </c>
      <c r="V38">
        <v>251173</v>
      </c>
      <c r="W38">
        <v>7249766</v>
      </c>
      <c r="X38">
        <v>10777905</v>
      </c>
      <c r="Y38">
        <v>15092166.5</v>
      </c>
      <c r="Z38">
        <v>21123005</v>
      </c>
    </row>
    <row r="39" spans="1:26" x14ac:dyDescent="0.3">
      <c r="A39">
        <v>37</v>
      </c>
      <c r="B39" t="s">
        <v>113</v>
      </c>
      <c r="C39" t="s">
        <v>109</v>
      </c>
      <c r="D39" t="s">
        <v>24</v>
      </c>
      <c r="E39" t="s">
        <v>101</v>
      </c>
      <c r="F39" s="2" t="s">
        <v>152</v>
      </c>
      <c r="G39" t="s">
        <v>119</v>
      </c>
      <c r="H39" s="2"/>
      <c r="I39" s="2"/>
      <c r="J39" t="s">
        <v>167</v>
      </c>
      <c r="K39" t="s">
        <v>174</v>
      </c>
      <c r="L39" s="2"/>
      <c r="M39" t="s">
        <v>102</v>
      </c>
      <c r="N39" t="s">
        <v>103</v>
      </c>
      <c r="O39" t="s">
        <v>104</v>
      </c>
      <c r="P39" t="s">
        <v>48</v>
      </c>
      <c r="Q39" s="5">
        <v>39814</v>
      </c>
      <c r="R39" s="5">
        <v>45809</v>
      </c>
      <c r="S39">
        <v>198</v>
      </c>
      <c r="T39">
        <v>12589651757</v>
      </c>
      <c r="U39">
        <v>2805575279</v>
      </c>
      <c r="V39">
        <v>7039051429</v>
      </c>
      <c r="W39">
        <v>10693254088</v>
      </c>
      <c r="X39">
        <v>11826234671</v>
      </c>
      <c r="Y39">
        <v>14315204770</v>
      </c>
      <c r="Z39">
        <v>20137869619</v>
      </c>
    </row>
    <row r="40" spans="1:26" x14ac:dyDescent="0.3">
      <c r="A40">
        <v>38</v>
      </c>
      <c r="B40" t="s">
        <v>114</v>
      </c>
      <c r="C40" t="s">
        <v>109</v>
      </c>
      <c r="D40" t="s">
        <v>24</v>
      </c>
      <c r="E40" t="s">
        <v>101</v>
      </c>
      <c r="F40" s="2" t="s">
        <v>153</v>
      </c>
      <c r="G40" t="s">
        <v>119</v>
      </c>
      <c r="H40" s="2"/>
      <c r="I40" s="2"/>
      <c r="J40" t="s">
        <v>167</v>
      </c>
      <c r="K40" t="s">
        <v>174</v>
      </c>
      <c r="L40" s="2"/>
      <c r="M40" t="s">
        <v>102</v>
      </c>
      <c r="N40" t="s">
        <v>103</v>
      </c>
      <c r="O40" t="s">
        <v>104</v>
      </c>
      <c r="P40" t="s">
        <v>48</v>
      </c>
      <c r="Q40" s="5">
        <v>39814</v>
      </c>
      <c r="R40" s="5">
        <v>45809</v>
      </c>
      <c r="S40">
        <v>198</v>
      </c>
      <c r="T40">
        <v>1141291820</v>
      </c>
      <c r="U40">
        <v>395037814</v>
      </c>
      <c r="V40">
        <v>493866261</v>
      </c>
      <c r="W40">
        <v>890737828.79999995</v>
      </c>
      <c r="X40">
        <v>1075756416</v>
      </c>
      <c r="Y40">
        <v>1286023056</v>
      </c>
      <c r="Z40">
        <v>3084903113</v>
      </c>
    </row>
    <row r="41" spans="1:26" x14ac:dyDescent="0.3">
      <c r="A41">
        <v>39</v>
      </c>
      <c r="B41" t="s">
        <v>155</v>
      </c>
      <c r="C41" t="s">
        <v>158</v>
      </c>
      <c r="D41" t="s">
        <v>156</v>
      </c>
      <c r="E41" t="s">
        <v>19</v>
      </c>
      <c r="F41" t="s">
        <v>20</v>
      </c>
      <c r="G41" t="s">
        <v>21</v>
      </c>
      <c r="I41" t="s">
        <v>164</v>
      </c>
      <c r="M41" t="s">
        <v>21</v>
      </c>
      <c r="N41" t="s">
        <v>21</v>
      </c>
      <c r="O41" t="s">
        <v>21</v>
      </c>
      <c r="P41" t="s">
        <v>22</v>
      </c>
      <c r="Q41" t="s">
        <v>21</v>
      </c>
      <c r="R41" t="s">
        <v>21</v>
      </c>
    </row>
    <row r="42" spans="1:26" x14ac:dyDescent="0.3">
      <c r="A42">
        <v>40</v>
      </c>
      <c r="B42" t="s">
        <v>157</v>
      </c>
      <c r="C42" t="s">
        <v>159</v>
      </c>
      <c r="D42" t="s">
        <v>24</v>
      </c>
      <c r="E42" t="s">
        <v>29</v>
      </c>
      <c r="F42" t="s">
        <v>160</v>
      </c>
      <c r="G42" t="s">
        <v>154</v>
      </c>
      <c r="H42" t="s">
        <v>163</v>
      </c>
      <c r="K42" t="s">
        <v>176</v>
      </c>
      <c r="M42" t="s">
        <v>30</v>
      </c>
      <c r="N42" t="s">
        <v>31</v>
      </c>
      <c r="O42" t="s">
        <v>185</v>
      </c>
      <c r="P42" t="s">
        <v>22</v>
      </c>
      <c r="Q42" s="5">
        <v>42005</v>
      </c>
      <c r="R42" s="5">
        <v>45901</v>
      </c>
    </row>
    <row r="43" spans="1:26" x14ac:dyDescent="0.3">
      <c r="A43">
        <v>41</v>
      </c>
      <c r="B43" t="s">
        <v>195</v>
      </c>
      <c r="C43" t="s">
        <v>178</v>
      </c>
      <c r="D43" t="s">
        <v>180</v>
      </c>
      <c r="E43" t="s">
        <v>54</v>
      </c>
      <c r="F43" t="s">
        <v>188</v>
      </c>
      <c r="G43" t="s">
        <v>118</v>
      </c>
      <c r="H43" t="s">
        <v>191</v>
      </c>
      <c r="M43" t="s">
        <v>55</v>
      </c>
      <c r="N43" t="s">
        <v>184</v>
      </c>
      <c r="O43" t="s">
        <v>185</v>
      </c>
      <c r="P43" t="s">
        <v>48</v>
      </c>
      <c r="Q43" s="5">
        <v>40179</v>
      </c>
      <c r="R43" s="5">
        <v>45839</v>
      </c>
    </row>
    <row r="44" spans="1:26" x14ac:dyDescent="0.3">
      <c r="A44">
        <v>42</v>
      </c>
      <c r="B44" t="s">
        <v>196</v>
      </c>
      <c r="C44" t="s">
        <v>178</v>
      </c>
      <c r="D44" t="s">
        <v>180</v>
      </c>
      <c r="E44" t="s">
        <v>54</v>
      </c>
      <c r="F44" t="s">
        <v>183</v>
      </c>
      <c r="G44" t="s">
        <v>118</v>
      </c>
      <c r="H44" t="s">
        <v>181</v>
      </c>
      <c r="M44" t="s">
        <v>55</v>
      </c>
      <c r="N44" t="s">
        <v>184</v>
      </c>
      <c r="O44" t="s">
        <v>185</v>
      </c>
      <c r="P44" t="s">
        <v>48</v>
      </c>
      <c r="Q44" s="5">
        <v>40179</v>
      </c>
      <c r="R44" s="5">
        <v>45839</v>
      </c>
    </row>
    <row r="45" spans="1:26" x14ac:dyDescent="0.3">
      <c r="A45">
        <v>43</v>
      </c>
      <c r="B45" t="s">
        <v>192</v>
      </c>
      <c r="C45" t="s">
        <v>179</v>
      </c>
      <c r="D45" t="s">
        <v>180</v>
      </c>
      <c r="E45" t="s">
        <v>54</v>
      </c>
      <c r="F45" t="s">
        <v>193</v>
      </c>
      <c r="G45" t="s">
        <v>118</v>
      </c>
      <c r="H45" t="s">
        <v>194</v>
      </c>
      <c r="M45" t="s">
        <v>55</v>
      </c>
      <c r="N45" t="s">
        <v>184</v>
      </c>
      <c r="O45" t="s">
        <v>185</v>
      </c>
      <c r="P45" t="s">
        <v>48</v>
      </c>
      <c r="Q45" s="5">
        <v>40179</v>
      </c>
      <c r="R45" s="5">
        <v>45839</v>
      </c>
    </row>
    <row r="46" spans="1:26" x14ac:dyDescent="0.3">
      <c r="A46">
        <v>44</v>
      </c>
      <c r="B46" t="s">
        <v>197</v>
      </c>
      <c r="C46" t="s">
        <v>179</v>
      </c>
      <c r="D46" t="s">
        <v>180</v>
      </c>
      <c r="E46" t="s">
        <v>54</v>
      </c>
      <c r="F46" t="s">
        <v>189</v>
      </c>
      <c r="G46" t="s">
        <v>182</v>
      </c>
      <c r="H46" t="s">
        <v>190</v>
      </c>
      <c r="M46" t="s">
        <v>55</v>
      </c>
      <c r="N46" t="s">
        <v>184</v>
      </c>
      <c r="O46" t="s">
        <v>185</v>
      </c>
      <c r="P46" t="s">
        <v>48</v>
      </c>
      <c r="Q46" s="5">
        <v>40179</v>
      </c>
      <c r="R46" s="5">
        <v>45839</v>
      </c>
    </row>
  </sheetData>
  <conditionalFormatting sqref="B1:B1048576">
    <cfRule type="duplicateValues" dxfId="0" priority="1"/>
  </conditionalFormatting>
  <hyperlinks>
    <hyperlink ref="N11" r:id="rId1" xr:uid="{08A01FD6-CA80-418E-8306-861905E09BD4}"/>
  </hyperlinks>
  <pageMargins left="0.7" right="0.7" top="0.78740157499999996" bottom="0.78740157499999996"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meta_data_library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 Ringler (FORESIGHT)</cp:lastModifiedBy>
  <dcterms:created xsi:type="dcterms:W3CDTF">2025-10-03T10:38:49Z</dcterms:created>
  <dcterms:modified xsi:type="dcterms:W3CDTF">2025-10-16T12:15:38Z</dcterms:modified>
</cp:coreProperties>
</file>